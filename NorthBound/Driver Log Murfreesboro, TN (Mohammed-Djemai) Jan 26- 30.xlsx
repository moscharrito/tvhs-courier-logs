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-1-Mohammed-Djemai\January-Logs\"/>
    </mc:Choice>
  </mc:AlternateContent>
  <xr:revisionPtr revIDLastSave="0" documentId="8_{06AC2884-8889-4E86-8CBD-2494D9A5230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G23" i="1"/>
  <c r="G22" i="1"/>
  <c r="G21" i="1"/>
  <c r="G20" i="1"/>
  <c r="H17" i="1"/>
  <c r="I17" i="1" s="1"/>
  <c r="G13" i="1"/>
  <c r="G44" i="1"/>
  <c r="G42" i="1"/>
  <c r="G41" i="1"/>
  <c r="E45" i="1"/>
  <c r="H45" i="1"/>
  <c r="I45" i="1" s="1"/>
  <c r="F45" i="1"/>
  <c r="G43" i="1"/>
  <c r="H38" i="1"/>
  <c r="I38" i="1" s="1"/>
  <c r="F38" i="1"/>
  <c r="E38" i="1"/>
  <c r="G37" i="1"/>
  <c r="G36" i="1"/>
  <c r="G35" i="1"/>
  <c r="G34" i="1"/>
  <c r="H31" i="1"/>
  <c r="I31" i="1" s="1"/>
  <c r="F31" i="1"/>
  <c r="E31" i="1"/>
  <c r="G30" i="1"/>
  <c r="G29" i="1"/>
  <c r="G28" i="1"/>
  <c r="G27" i="1"/>
  <c r="H24" i="1"/>
  <c r="I24" i="1" s="1"/>
  <c r="F24" i="1"/>
  <c r="E24" i="1"/>
  <c r="E17" i="1"/>
  <c r="G16" i="1"/>
  <c r="G15" i="1"/>
  <c r="G14" i="1"/>
  <c r="F17" i="1"/>
  <c r="G24" i="1" l="1"/>
  <c r="G45" i="1"/>
  <c r="I51" i="1"/>
  <c r="G38" i="1"/>
  <c r="G31" i="1"/>
  <c r="G17" i="1"/>
</calcChain>
</file>

<file path=xl/sharedStrings.xml><?xml version="1.0" encoding="utf-8"?>
<sst xmlns="http://schemas.openxmlformats.org/spreadsheetml/2006/main" count="99" uniqueCount="38">
  <si>
    <t>Izy Global Services LLC</t>
  </si>
  <si>
    <t>4869 Madyson Ridge Dr.</t>
  </si>
  <si>
    <t>Fort Worth, TX 76133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</si>
  <si>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</si>
  <si>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</si>
  <si>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</si>
  <si>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</si>
  <si>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</si>
  <si>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</si>
  <si>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</si>
  <si>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Murfreesboro to Chattanooga</t>
  </si>
  <si>
    <t>Chattanooga to Murfreesboro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</si>
  <si>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</si>
  <si>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</si>
  <si>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</si>
  <si>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</si>
  <si>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</si>
  <si>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</si>
  <si>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Monday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</si>
  <si>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</si>
  <si>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</si>
  <si>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</si>
  <si>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</si>
  <si>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</si>
  <si>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</si>
  <si>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</si>
  <si>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</si>
  <si>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</si>
  <si>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</si>
  <si>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 xml:space="preserve"> </t>
  </si>
  <si>
    <t>Driver Log</t>
  </si>
  <si>
    <t>Log Date:</t>
  </si>
  <si>
    <t>Log Number:</t>
  </si>
  <si>
    <t>Name of VA Contact/Staff</t>
  </si>
  <si>
    <t>Mohamed Djemai</t>
  </si>
  <si>
    <t>mohamed Djemai</t>
  </si>
  <si>
    <t>/</t>
  </si>
  <si>
    <t xml:space="preserve">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</si>
</sst>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0" fillId="0" borderId="3" xfId="0" applyNumberFormat="1" applyBorder="1"/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topLeftCell="A35" workbookViewId="0">
      <selection activeCell="B6" sqref="B6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3.81640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  <col min="10" max="10" width="20.81640625" customWidth="1"/>
  </cols>
  <sheetData>
    <row r="1" spans="1:10" ht="21" x14ac:dyDescent="0.5">
      <c r="A1" s="6" t="s">
        <v>30</v>
      </c>
    </row>
    <row r="2" spans="1:10" x14ac:dyDescent="0.35">
      <c r="F2" s="5" t="s">
        <v>16</v>
      </c>
    </row>
    <row r="3" spans="1:10" ht="18.5" x14ac:dyDescent="0.45">
      <c r="A3" s="19" t="s">
        <v>8</v>
      </c>
      <c r="B3" s="22" t="s">
        <v>34</v>
      </c>
      <c r="F3" s="3" t="s">
        <v>0</v>
      </c>
    </row>
    <row r="4" spans="1:10" ht="15.5" x14ac:dyDescent="0.35">
      <c r="A4" s="19" t="s">
        <v>31</v>
      </c>
      <c r="B4" s="25">
        <v>46052</v>
      </c>
      <c r="F4" s="2" t="s">
        <v>1</v>
      </c>
    </row>
    <row r="5" spans="1:10" ht="15.5" x14ac:dyDescent="0.35">
      <c r="A5" s="19" t="s">
        <v>32</v>
      </c>
      <c r="B5" s="26"/>
      <c r="F5" s="2" t="s">
        <v>2</v>
      </c>
    </row>
    <row r="6" spans="1:10" x14ac:dyDescent="0.35">
      <c r="B6" t="s">
        <v>29</v>
      </c>
      <c r="F6" s="2" t="s">
        <v>7</v>
      </c>
    </row>
    <row r="8" spans="1:10" x14ac:dyDescent="0.35">
      <c r="A8" s="16" t="s">
        <v>26</v>
      </c>
      <c r="B8" s="17">
        <f>H17+H24+H31+H38+H45</f>
        <v>1964.8</v>
      </c>
      <c r="C8" s="4"/>
    </row>
    <row r="9" spans="1:10" x14ac:dyDescent="0.35">
      <c r="A9" s="16" t="s">
        <v>21</v>
      </c>
      <c r="B9" s="17">
        <v>8</v>
      </c>
      <c r="C9" s="4"/>
    </row>
    <row r="10" spans="1:10" ht="15.5" x14ac:dyDescent="0.35">
      <c r="A10" s="16"/>
      <c r="B10" s="23"/>
      <c r="C10" s="4"/>
    </row>
    <row r="12" spans="1:10" ht="29" x14ac:dyDescent="0.35">
      <c r="A12" s="7" t="s">
        <v>3</v>
      </c>
      <c r="B12" s="7" t="s">
        <v>14</v>
      </c>
      <c r="C12" s="1" t="s">
        <v>28</v>
      </c>
      <c r="D12" s="1" t="s">
        <v>27</v>
      </c>
      <c r="E12" s="1" t="s">
        <v>12</v>
      </c>
      <c r="F12" s="1" t="s">
        <v>13</v>
      </c>
      <c r="G12" s="1" t="s">
        <v>15</v>
      </c>
      <c r="H12" s="1" t="s">
        <v>9</v>
      </c>
      <c r="I12" s="1" t="s">
        <v>9</v>
      </c>
      <c r="J12" s="1" t="s">
        <v>33</v>
      </c>
    </row>
    <row r="13" spans="1:10" x14ac:dyDescent="0.35">
      <c r="A13" s="8" t="s">
        <v>18</v>
      </c>
      <c r="B13" s="12" t="s">
        <v>10</v>
      </c>
      <c r="C13" s="13" t="s">
        <v>36</v>
      </c>
      <c r="D13" s="13" t="s">
        <v>36</v>
      </c>
      <c r="E13" s="14">
        <v>0</v>
      </c>
      <c r="F13" s="14">
        <v>0</v>
      </c>
      <c r="G13" s="14">
        <f>SUM(E13:F13)</f>
        <v>0</v>
      </c>
      <c r="H13" s="14">
        <v>0</v>
      </c>
      <c r="J13" s="1"/>
    </row>
    <row r="14" spans="1:10" x14ac:dyDescent="0.35">
      <c r="A14" s="9">
        <v>46048</v>
      </c>
      <c r="B14" s="12" t="s">
        <v>11</v>
      </c>
      <c r="C14" s="28" t="s">
        <v>37</v>
      </c>
      <c r="D14" s="13" t="s">
        <v>36</v>
      </c>
      <c r="E14" s="14">
        <v>0</v>
      </c>
      <c r="F14" s="14">
        <v>0</v>
      </c>
      <c r="G14" s="14">
        <f t="shared" ref="G14:G16" si="0">SUM(E14:F14)</f>
        <v>0</v>
      </c>
      <c r="H14" s="14">
        <v>0</v>
      </c>
      <c r="J14" s="1"/>
    </row>
    <row r="15" spans="1:10" x14ac:dyDescent="0.35">
      <c r="A15" s="27"/>
      <c r="B15" s="12" t="s">
        <v>10</v>
      </c>
      <c r="C15" s="13" t="s">
        <v>36</v>
      </c>
      <c r="D15" s="13" t="s">
        <v>36</v>
      </c>
      <c r="E15" s="14">
        <v>0</v>
      </c>
      <c r="F15" s="14">
        <v>0</v>
      </c>
      <c r="G15" s="14">
        <f t="shared" si="0"/>
        <v>0</v>
      </c>
      <c r="H15" s="14">
        <v>0</v>
      </c>
      <c r="J15" s="1"/>
    </row>
    <row r="16" spans="1:10" x14ac:dyDescent="0.35">
      <c r="A16" s="11"/>
      <c r="B16" s="12" t="s">
        <v>11</v>
      </c>
      <c r="C16" s="13" t="s">
        <v>36</v>
      </c>
      <c r="D16" s="13" t="s">
        <v>36</v>
      </c>
      <c r="E16" s="14">
        <v>0</v>
      </c>
      <c r="F16" s="14">
        <v>0</v>
      </c>
      <c r="G16" s="14">
        <f t="shared" si="0"/>
        <v>0</v>
      </c>
      <c r="H16" s="14">
        <v>0</v>
      </c>
      <c r="J16" s="1"/>
    </row>
    <row r="17" spans="1:10" x14ac:dyDescent="0.35">
      <c r="D17" s="15" t="s">
        <v>17</v>
      </c>
      <c r="E17" s="14">
        <f>SUM(E13:E16)</f>
        <v>0</v>
      </c>
      <c r="F17" s="14">
        <f>SUM(F13:F16)</f>
        <v>0</v>
      </c>
      <c r="G17" s="14">
        <f>SUM(G13:G16)</f>
        <v>0</v>
      </c>
      <c r="H17" s="14">
        <f>SUM(H13:H16)</f>
        <v>0</v>
      </c>
      <c r="I17" s="21">
        <f>+H17</f>
        <v>0</v>
      </c>
      <c r="J17" s="1"/>
    </row>
    <row r="18" spans="1:10" x14ac:dyDescent="0.35">
      <c r="J18" s="1"/>
    </row>
    <row r="19" spans="1:10" ht="29" x14ac:dyDescent="0.35">
      <c r="A19" s="7" t="s">
        <v>3</v>
      </c>
      <c r="B19" s="7" t="s">
        <v>14</v>
      </c>
      <c r="C19" s="1" t="s">
        <v>28</v>
      </c>
      <c r="D19" s="1" t="s">
        <v>27</v>
      </c>
      <c r="E19" s="1" t="s">
        <v>12</v>
      </c>
      <c r="F19" s="1" t="s">
        <v>13</v>
      </c>
      <c r="G19" s="1" t="s">
        <v>15</v>
      </c>
      <c r="H19" s="1" t="s">
        <v>9</v>
      </c>
      <c r="J19" s="1"/>
    </row>
    <row r="20" spans="1:10" x14ac:dyDescent="0.35">
      <c r="A20" s="8" t="s">
        <v>22</v>
      </c>
      <c r="B20" s="12" t="s">
        <v>10</v>
      </c>
      <c r="C20" s="13">
        <v>0.30902777777777779</v>
      </c>
      <c r="D20" s="13">
        <v>0.4375</v>
      </c>
      <c r="E20" s="14">
        <v>5</v>
      </c>
      <c r="F20" s="14">
        <v>4</v>
      </c>
      <c r="G20" s="14">
        <f>E20+F20</f>
        <v>9</v>
      </c>
      <c r="H20" s="14">
        <v>122.6</v>
      </c>
      <c r="J20" s="1"/>
    </row>
    <row r="21" spans="1:10" x14ac:dyDescent="0.35">
      <c r="A21" s="9">
        <v>46049</v>
      </c>
      <c r="B21" s="12" t="s">
        <v>11</v>
      </c>
      <c r="C21" s="13">
        <v>0.4513888888888889</v>
      </c>
      <c r="D21" s="13">
        <v>0.50694444444444442</v>
      </c>
      <c r="E21" s="14">
        <v>2</v>
      </c>
      <c r="F21" s="14">
        <v>2</v>
      </c>
      <c r="G21" s="14">
        <f>E21+F21</f>
        <v>4</v>
      </c>
      <c r="H21" s="14">
        <v>123</v>
      </c>
      <c r="J21" s="1"/>
    </row>
    <row r="22" spans="1:10" x14ac:dyDescent="0.35">
      <c r="A22" s="10"/>
      <c r="B22" s="12" t="s">
        <v>10</v>
      </c>
      <c r="C22" s="13">
        <v>0.51736111111111116</v>
      </c>
      <c r="D22" s="13">
        <v>0.65277777777777779</v>
      </c>
      <c r="E22" s="14">
        <v>0</v>
      </c>
      <c r="F22" s="14">
        <v>0</v>
      </c>
      <c r="G22" s="14">
        <f>E22+F22</f>
        <v>0</v>
      </c>
      <c r="H22" s="14">
        <v>122.6</v>
      </c>
      <c r="J22" s="1"/>
    </row>
    <row r="23" spans="1:10" x14ac:dyDescent="0.35">
      <c r="A23" s="11"/>
      <c r="B23" s="12" t="s">
        <v>11</v>
      </c>
      <c r="C23" s="13">
        <v>0.67708333333333337</v>
      </c>
      <c r="D23" s="13">
        <v>0.72569444444444442</v>
      </c>
      <c r="E23" s="14">
        <v>5</v>
      </c>
      <c r="F23" s="14">
        <v>5</v>
      </c>
      <c r="G23" s="14">
        <f>E23+F23</f>
        <v>10</v>
      </c>
      <c r="H23" s="14">
        <v>123</v>
      </c>
      <c r="J23" s="1"/>
    </row>
    <row r="24" spans="1:10" x14ac:dyDescent="0.35">
      <c r="D24" s="15" t="s">
        <v>17</v>
      </c>
      <c r="E24" s="14">
        <f>SUM(E20:E23)</f>
        <v>12</v>
      </c>
      <c r="F24" s="14">
        <f>SUM(F20:F23)</f>
        <v>11</v>
      </c>
      <c r="G24" s="14">
        <f>E24+F24</f>
        <v>23</v>
      </c>
      <c r="H24" s="14">
        <f>SUM(H20:H23)</f>
        <v>491.2</v>
      </c>
      <c r="I24" s="21">
        <f>+H24</f>
        <v>491.2</v>
      </c>
      <c r="J24" s="1"/>
    </row>
    <row r="25" spans="1:10" x14ac:dyDescent="0.35">
      <c r="J25" s="1"/>
    </row>
    <row r="26" spans="1:10" ht="29" x14ac:dyDescent="0.35">
      <c r="A26" s="7" t="s">
        <v>3</v>
      </c>
      <c r="B26" s="7" t="s">
        <v>14</v>
      </c>
      <c r="C26" s="1" t="s">
        <v>28</v>
      </c>
      <c r="D26" s="1" t="s">
        <v>27</v>
      </c>
      <c r="E26" s="1" t="s">
        <v>12</v>
      </c>
      <c r="F26" s="1" t="s">
        <v>13</v>
      </c>
      <c r="G26" s="1" t="s">
        <v>15</v>
      </c>
      <c r="H26" s="1" t="s">
        <v>9</v>
      </c>
      <c r="J26" s="1"/>
    </row>
    <row r="27" spans="1:10" x14ac:dyDescent="0.35">
      <c r="A27" s="8" t="s">
        <v>23</v>
      </c>
      <c r="B27" s="12" t="s">
        <v>10</v>
      </c>
      <c r="C27" s="13">
        <v>0.30902777777777779</v>
      </c>
      <c r="D27" s="13">
        <v>0.4375</v>
      </c>
      <c r="E27" s="14">
        <v>5</v>
      </c>
      <c r="F27" s="14">
        <v>4</v>
      </c>
      <c r="G27" s="14">
        <f>SUM(E27:F27)</f>
        <v>9</v>
      </c>
      <c r="H27" s="14">
        <v>122.6</v>
      </c>
      <c r="J27" s="1"/>
    </row>
    <row r="28" spans="1:10" x14ac:dyDescent="0.35">
      <c r="A28" s="9">
        <v>46050</v>
      </c>
      <c r="B28" s="12" t="s">
        <v>11</v>
      </c>
      <c r="C28" s="13">
        <v>0.45833333333333331</v>
      </c>
      <c r="D28" s="13">
        <v>0.51041666666666663</v>
      </c>
      <c r="E28" s="14">
        <v>2</v>
      </c>
      <c r="F28" s="14">
        <v>2</v>
      </c>
      <c r="G28" s="14">
        <f t="shared" ref="G28:G30" si="1">SUM(E28:F28)</f>
        <v>4</v>
      </c>
      <c r="H28" s="14">
        <v>123</v>
      </c>
      <c r="J28" s="1"/>
    </row>
    <row r="29" spans="1:10" x14ac:dyDescent="0.35">
      <c r="A29" s="10"/>
      <c r="B29" s="12" t="s">
        <v>10</v>
      </c>
      <c r="C29" s="13">
        <v>0.51388888888888884</v>
      </c>
      <c r="D29" s="13">
        <v>0.65625</v>
      </c>
      <c r="E29" s="14">
        <v>0</v>
      </c>
      <c r="F29" s="14">
        <v>0</v>
      </c>
      <c r="G29" s="14">
        <f t="shared" si="1"/>
        <v>0</v>
      </c>
      <c r="H29" s="14">
        <v>122.6</v>
      </c>
      <c r="J29" s="1"/>
    </row>
    <row r="30" spans="1:10" x14ac:dyDescent="0.35">
      <c r="A30" s="11"/>
      <c r="B30" s="12" t="s">
        <v>11</v>
      </c>
      <c r="C30" s="13">
        <v>0.67013888888888884</v>
      </c>
      <c r="D30" s="13">
        <v>0.72916666666666663</v>
      </c>
      <c r="E30" s="14">
        <v>5</v>
      </c>
      <c r="F30" s="14">
        <v>4</v>
      </c>
      <c r="G30" s="14">
        <f t="shared" si="1"/>
        <v>9</v>
      </c>
      <c r="H30" s="14">
        <v>123</v>
      </c>
      <c r="J30" s="1"/>
    </row>
    <row r="31" spans="1:10" x14ac:dyDescent="0.35">
      <c r="D31" s="15" t="s">
        <v>17</v>
      </c>
      <c r="E31" s="14">
        <f>SUM(E27:E30)</f>
        <v>12</v>
      </c>
      <c r="F31" s="14">
        <f>SUM(F27:F30)</f>
        <v>10</v>
      </c>
      <c r="G31" s="14">
        <f>SUM(G27:G30)</f>
        <v>22</v>
      </c>
      <c r="H31" s="14">
        <f>SUM(H27:H30)</f>
        <v>491.2</v>
      </c>
      <c r="I31" s="21">
        <f>+H31</f>
        <v>491.2</v>
      </c>
      <c r="J31" s="1"/>
    </row>
    <row r="32" spans="1:10" x14ac:dyDescent="0.35">
      <c r="J32" s="1"/>
    </row>
    <row r="33" spans="1:10" ht="29" x14ac:dyDescent="0.35">
      <c r="A33" s="7" t="s">
        <v>3</v>
      </c>
      <c r="B33" s="7" t="s">
        <v>14</v>
      </c>
      <c r="C33" s="1" t="s">
        <v>28</v>
      </c>
      <c r="D33" s="1" t="s">
        <v>27</v>
      </c>
      <c r="E33" s="1" t="s">
        <v>12</v>
      </c>
      <c r="F33" s="1" t="s">
        <v>13</v>
      </c>
      <c r="G33" s="1" t="s">
        <v>15</v>
      </c>
      <c r="H33" s="1" t="s">
        <v>9</v>
      </c>
      <c r="J33" s="1"/>
    </row>
    <row r="34" spans="1:10" x14ac:dyDescent="0.35">
      <c r="A34" s="8" t="s">
        <v>24</v>
      </c>
      <c r="B34" s="12" t="s">
        <v>10</v>
      </c>
      <c r="C34" s="13">
        <v>0.3125</v>
      </c>
      <c r="D34" s="13">
        <v>0.44791666666666669</v>
      </c>
      <c r="E34" s="14">
        <v>7</v>
      </c>
      <c r="F34" s="14">
        <v>5</v>
      </c>
      <c r="G34" s="14">
        <f>SUM(E34:F34)</f>
        <v>12</v>
      </c>
      <c r="H34" s="14">
        <v>122.6</v>
      </c>
      <c r="J34" s="1"/>
    </row>
    <row r="35" spans="1:10" x14ac:dyDescent="0.35">
      <c r="A35" s="9">
        <v>46051</v>
      </c>
      <c r="B35" s="12" t="s">
        <v>11</v>
      </c>
      <c r="C35" s="13">
        <v>0.45833333333333331</v>
      </c>
      <c r="D35" s="13">
        <v>0.50347222222222221</v>
      </c>
      <c r="E35" s="14">
        <v>2</v>
      </c>
      <c r="F35" s="14">
        <v>2</v>
      </c>
      <c r="G35" s="14">
        <f t="shared" ref="G35:G37" si="2">SUM(E35:F35)</f>
        <v>4</v>
      </c>
      <c r="H35" s="14">
        <v>123</v>
      </c>
      <c r="J35" s="1"/>
    </row>
    <row r="36" spans="1:10" x14ac:dyDescent="0.35">
      <c r="A36" s="10"/>
      <c r="B36" s="12" t="s">
        <v>10</v>
      </c>
      <c r="C36" s="13">
        <v>0.51388888888888884</v>
      </c>
      <c r="D36" s="13">
        <v>0.65277777777777779</v>
      </c>
      <c r="E36" s="14">
        <v>0</v>
      </c>
      <c r="F36" s="14">
        <v>0</v>
      </c>
      <c r="G36" s="14">
        <f t="shared" si="2"/>
        <v>0</v>
      </c>
      <c r="H36" s="14">
        <v>122.6</v>
      </c>
      <c r="J36" s="1"/>
    </row>
    <row r="37" spans="1:10" x14ac:dyDescent="0.35">
      <c r="A37" s="11"/>
      <c r="B37" s="12" t="s">
        <v>11</v>
      </c>
      <c r="C37" s="13">
        <v>0.57638888888888884</v>
      </c>
      <c r="D37" s="13">
        <v>0.73611111111111116</v>
      </c>
      <c r="E37" s="14">
        <v>7</v>
      </c>
      <c r="F37" s="14">
        <v>5</v>
      </c>
      <c r="G37" s="14">
        <f t="shared" si="2"/>
        <v>12</v>
      </c>
      <c r="H37" s="14">
        <v>123</v>
      </c>
      <c r="J37" s="1"/>
    </row>
    <row r="38" spans="1:10" x14ac:dyDescent="0.35">
      <c r="D38" s="15" t="s">
        <v>17</v>
      </c>
      <c r="E38" s="14">
        <f>SUM(E34:E37)</f>
        <v>16</v>
      </c>
      <c r="F38" s="14">
        <f>SUM(F34:F37)</f>
        <v>12</v>
      </c>
      <c r="G38" s="14">
        <f>SUM(G34:G37)</f>
        <v>28</v>
      </c>
      <c r="H38" s="14">
        <f>SUM(H34:H37)</f>
        <v>491.2</v>
      </c>
      <c r="I38" s="21">
        <f>+H38</f>
        <v>491.2</v>
      </c>
      <c r="J38" s="1"/>
    </row>
    <row r="39" spans="1:10" x14ac:dyDescent="0.35">
      <c r="J39" s="1"/>
    </row>
    <row r="40" spans="1:10" ht="29" x14ac:dyDescent="0.35">
      <c r="A40" s="7" t="s">
        <v>3</v>
      </c>
      <c r="B40" s="7" t="s">
        <v>14</v>
      </c>
      <c r="C40" s="1" t="s">
        <v>28</v>
      </c>
      <c r="D40" s="1" t="s">
        <v>27</v>
      </c>
      <c r="E40" s="1" t="s">
        <v>12</v>
      </c>
      <c r="F40" s="1" t="s">
        <v>13</v>
      </c>
      <c r="G40" s="1" t="s">
        <v>15</v>
      </c>
      <c r="H40" s="1" t="s">
        <v>9</v>
      </c>
      <c r="J40" s="1"/>
    </row>
    <row r="41" spans="1:10" x14ac:dyDescent="0.35">
      <c r="A41" s="8" t="s">
        <v>25</v>
      </c>
      <c r="B41" s="12" t="s">
        <v>10</v>
      </c>
      <c r="C41" s="13">
        <v>0.30555555555555558</v>
      </c>
      <c r="D41" s="13">
        <v>0.43402777777777779</v>
      </c>
      <c r="E41" s="14">
        <v>7</v>
      </c>
      <c r="F41" s="14">
        <v>5</v>
      </c>
      <c r="G41" s="14">
        <f>SUM(E41:F41)</f>
        <v>12</v>
      </c>
      <c r="H41" s="14">
        <v>122.6</v>
      </c>
      <c r="J41" s="1"/>
    </row>
    <row r="42" spans="1:10" x14ac:dyDescent="0.35">
      <c r="A42" s="9">
        <v>46052</v>
      </c>
      <c r="B42" s="12" t="s">
        <v>11</v>
      </c>
      <c r="C42" s="13">
        <v>0.45833333333333331</v>
      </c>
      <c r="D42" s="13">
        <v>0.50347222222222221</v>
      </c>
      <c r="E42" s="14">
        <v>1</v>
      </c>
      <c r="F42" s="14">
        <v>1</v>
      </c>
      <c r="G42" s="14">
        <f>SUM(E42:F42)</f>
        <v>2</v>
      </c>
      <c r="H42" s="14">
        <v>123</v>
      </c>
      <c r="J42" s="1"/>
    </row>
    <row r="43" spans="1:10" x14ac:dyDescent="0.35">
      <c r="A43" s="10"/>
      <c r="B43" s="12" t="s">
        <v>10</v>
      </c>
      <c r="C43" s="13">
        <v>0.51041666666666663</v>
      </c>
      <c r="D43" s="13">
        <v>0.65277777777777779</v>
      </c>
      <c r="E43" s="14">
        <v>0</v>
      </c>
      <c r="F43" s="14">
        <v>0</v>
      </c>
      <c r="G43" s="14">
        <f t="shared" ref="G43" si="3">SUM(E43:F43)</f>
        <v>0</v>
      </c>
      <c r="H43" s="14">
        <v>122.6</v>
      </c>
      <c r="J43" s="1"/>
    </row>
    <row r="44" spans="1:10" x14ac:dyDescent="0.35">
      <c r="A44" s="11"/>
      <c r="B44" s="12" t="s">
        <v>11</v>
      </c>
      <c r="C44" s="13">
        <v>0.66666666666666663</v>
      </c>
      <c r="D44" s="13">
        <v>0.73958333333333337</v>
      </c>
      <c r="E44" s="14">
        <v>5</v>
      </c>
      <c r="F44" s="14">
        <v>7</v>
      </c>
      <c r="G44" s="14">
        <f>SUM(E44:F44)</f>
        <v>12</v>
      </c>
      <c r="H44" s="14">
        <v>123</v>
      </c>
      <c r="J44" s="1"/>
    </row>
    <row r="45" spans="1:10" x14ac:dyDescent="0.35">
      <c r="D45" s="15" t="s">
        <v>17</v>
      </c>
      <c r="E45" s="14">
        <f>SUM(E41:E44)</f>
        <v>13</v>
      </c>
      <c r="F45" s="14">
        <f>SUM(F41:F44)</f>
        <v>13</v>
      </c>
      <c r="G45" s="14">
        <f>SUM(G41:G44)</f>
        <v>26</v>
      </c>
      <c r="H45" s="14">
        <f>SUM(H41:H44)</f>
        <v>491.2</v>
      </c>
      <c r="I45" s="21">
        <f>+H45</f>
        <v>491.2</v>
      </c>
    </row>
    <row r="47" spans="1:10" x14ac:dyDescent="0.35">
      <c r="A47" t="s">
        <v>4</v>
      </c>
    </row>
    <row r="48" spans="1:10" x14ac:dyDescent="0.35">
      <c r="A48" t="s">
        <v>5</v>
      </c>
    </row>
    <row r="49" spans="1:9" x14ac:dyDescent="0.35">
      <c r="A49" t="s">
        <v>6</v>
      </c>
    </row>
    <row r="51" spans="1:9" ht="20.5" thickBot="1" x14ac:dyDescent="0.65">
      <c r="A51" s="18" t="s">
        <v>20</v>
      </c>
      <c r="B51" s="24" t="s">
        <v>35</v>
      </c>
      <c r="E51" s="16" t="s">
        <v>19</v>
      </c>
      <c r="F51" s="20">
        <v>46052</v>
      </c>
      <c r="I51">
        <f>SUM(I17:I50)</f>
        <v>1964.8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2026-02-03T16:32:51Z</dcterms:modified>
</cp:coreProperties>
</file>