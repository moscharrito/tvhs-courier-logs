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-1-Mohammed-Djemai\January-Logs\"/>
    </mc:Choice>
  </mc:AlternateContent>
  <xr:revisionPtr revIDLastSave="0" documentId="13_ncr:1_{84609B04-815B-49FC-B18B-BDA58732D9D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nhccUpxoaD6eZswlADbRr6X772N2mgnSGDZCmsuTXE="/>
    </ext>
  </extLst>
</workbook>
</file>

<file path=xl/calcChain.xml><?xml version="1.0" encoding="utf-8"?>
<calcChain xmlns="http://schemas.openxmlformats.org/spreadsheetml/2006/main">
  <c r="I45" i="1" l="1"/>
  <c r="H45" i="1"/>
  <c r="F45" i="1"/>
  <c r="E45" i="1"/>
  <c r="G44" i="1"/>
  <c r="G43" i="1"/>
  <c r="G42" i="1"/>
  <c r="G41" i="1"/>
  <c r="G45" i="1" s="1"/>
  <c r="I38" i="1"/>
  <c r="H38" i="1"/>
  <c r="F38" i="1"/>
  <c r="E38" i="1"/>
  <c r="G37" i="1"/>
  <c r="G36" i="1"/>
  <c r="G35" i="1"/>
  <c r="G34" i="1"/>
  <c r="G38" i="1" s="1"/>
  <c r="I31" i="1"/>
  <c r="H31" i="1"/>
  <c r="F31" i="1"/>
  <c r="E31" i="1"/>
  <c r="G30" i="1"/>
  <c r="G29" i="1"/>
  <c r="G31" i="1" s="1"/>
  <c r="G28" i="1"/>
  <c r="G27" i="1"/>
  <c r="I24" i="1"/>
  <c r="H24" i="1"/>
  <c r="F24" i="1"/>
  <c r="E24" i="1"/>
  <c r="H17" i="1"/>
  <c r="I17" i="1" s="1"/>
  <c r="I51" i="1" s="1"/>
  <c r="F17" i="1"/>
  <c r="E17" i="1"/>
  <c r="G16" i="1"/>
  <c r="G15" i="1"/>
  <c r="G14" i="1"/>
  <c r="G13" i="1"/>
  <c r="G17" i="1" s="1"/>
</calcChain>
</file>

<file path=xl/sharedStrings.xml><?xml version="1.0" encoding="utf-8"?>
<sst xmlns="http://schemas.openxmlformats.org/spreadsheetml/2006/main" count="92" uniqueCount="37">
  <si>
    <t>Driver Log</t>
  </si>
  <si>
    <t>submit to :</t>
  </si>
  <si>
    <t xml:space="preserve">Driver Name: </t>
  </si>
  <si>
    <t>Mohamed Djemai</t>
  </si>
  <si>
    <t>Izy Global Services LLC</t>
  </si>
  <si>
    <t>Log Date:</t>
  </si>
  <si>
    <t>4869 Madyson Ridge Dr.</t>
  </si>
  <si>
    <t>Log Number:</t>
  </si>
  <si>
    <t>Fort Worth, TX 76133</t>
  </si>
  <si>
    <t xml:space="preserve"> </t>
  </si>
  <si>
    <t>Phone: (713) 992-0481 | Email: freights@izymovers.com</t>
  </si>
  <si>
    <t>Total Weekly Miles :</t>
  </si>
  <si>
    <t>Total Routes Completed:</t>
  </si>
  <si>
    <t>Date</t>
  </si>
  <si>
    <t>Route Leg</t>
  </si>
  <si>
    <t>Leg Start  Time</t>
  </si>
  <si>
    <t>Leg Completion</t>
  </si>
  <si>
    <t>Sterile Transported</t>
  </si>
  <si>
    <t>Soiled Transported</t>
  </si>
  <si>
    <t>Total Totes Transported</t>
  </si>
  <si>
    <t>Miles Driven</t>
  </si>
  <si>
    <t>Name of VA Contact/Staff</t>
  </si>
  <si>
    <t>Monday</t>
  </si>
  <si>
    <t>Murfreesboro to Chattanooga</t>
  </si>
  <si>
    <t>Chattanooga to Murfreesboro</t>
  </si>
  <si>
    <t xml:space="preserve">  10:50</t>
  </si>
  <si>
    <t>Daily Totals :</t>
  </si>
  <si>
    <t>Tuesday</t>
  </si>
  <si>
    <t>Wednesday</t>
  </si>
  <si>
    <t>Thursday</t>
  </si>
  <si>
    <t>Friday</t>
  </si>
  <si>
    <t>Notes:</t>
  </si>
  <si>
    <t>- Submit this invoice every Friday for the current week.</t>
  </si>
  <si>
    <t>- Attach scanned BOLs or mileage logs as supporting documentation.</t>
  </si>
  <si>
    <t>Driver Signature</t>
  </si>
  <si>
    <t>mohamed Djemai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</si>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</sst>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/d/yy"/>
  </numFmts>
  <fonts count="10" x14ac:knownFonts="1">
    <font>
      <sz val="11"/>
      <color theme="1"/>
      <name val="Calibri"/>
      <scheme val="minor"/>
    </font>
    <font>
      <b/>
      <sz val="16"/>
      <color theme="1"/>
      <name val="Calibri"/>
    </font>
    <font>
      <i/>
      <sz val="10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i/>
      <sz val="14"/>
      <color theme="1"/>
      <name val="Dreaming Outloud Script Pro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/>
    <xf numFmtId="164" fontId="4" fillId="0" borderId="0" xfId="0" applyNumberFormat="1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/>
    </xf>
    <xf numFmtId="0" fontId="6" fillId="0" borderId="1" xfId="0" applyFont="1" applyBorder="1"/>
    <xf numFmtId="20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22" fontId="6" fillId="0" borderId="1" xfId="0" applyNumberFormat="1" applyFont="1" applyBorder="1" applyAlignment="1">
      <alignment horizontal="center"/>
    </xf>
    <xf numFmtId="14" fontId="6" fillId="0" borderId="3" xfId="0" applyNumberFormat="1" applyFont="1" applyBorder="1"/>
    <xf numFmtId="0" fontId="6" fillId="0" borderId="4" xfId="0" applyFont="1" applyBorder="1"/>
    <xf numFmtId="0" fontId="8" fillId="0" borderId="1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9" fillId="0" borderId="5" xfId="0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topLeftCell="A9" workbookViewId="0">
      <selection activeCell="C7" sqref="C7"/>
    </sheetView>
  </sheetViews>
  <sheetFormatPr defaultColWidth="14.453125" defaultRowHeight="15" customHeight="1" x14ac:dyDescent="0.35"/>
  <cols>
    <col min="1" max="1" width="22.7265625" customWidth="1"/>
    <col min="2" max="2" width="27.7265625" customWidth="1"/>
    <col min="3" max="3" width="13.81640625" customWidth="1"/>
    <col min="4" max="4" width="12.08984375" customWidth="1"/>
    <col min="5" max="7" width="12.7265625" customWidth="1"/>
    <col min="8" max="8" width="9.453125" customWidth="1"/>
    <col min="9" max="9" width="8.7265625" hidden="1" customWidth="1"/>
    <col min="10" max="10" width="20.81640625" customWidth="1"/>
    <col min="11" max="26" width="8.7265625" customWidth="1"/>
  </cols>
  <sheetData>
    <row r="1" spans="1:10" ht="14.25" customHeight="1" x14ac:dyDescent="0.5">
      <c r="A1" s="1" t="s">
        <v>0</v>
      </c>
    </row>
    <row r="2" spans="1:10" ht="14.25" customHeight="1" x14ac:dyDescent="0.35">
      <c r="F2" s="2" t="s">
        <v>1</v>
      </c>
    </row>
    <row r="3" spans="1:10" ht="14.25" customHeight="1" x14ac:dyDescent="0.45">
      <c r="A3" s="3" t="s">
        <v>2</v>
      </c>
      <c r="B3" s="4" t="s">
        <v>3</v>
      </c>
      <c r="F3" s="5" t="s">
        <v>4</v>
      </c>
    </row>
    <row r="4" spans="1:10" ht="14.25" customHeight="1" x14ac:dyDescent="0.35">
      <c r="A4" s="3" t="s">
        <v>5</v>
      </c>
      <c r="B4" s="6">
        <v>46031</v>
      </c>
      <c r="F4" s="7" t="s">
        <v>6</v>
      </c>
    </row>
    <row r="5" spans="1:10" ht="14.25" customHeight="1" x14ac:dyDescent="0.35">
      <c r="A5" s="3" t="s">
        <v>7</v>
      </c>
      <c r="B5" s="8"/>
      <c r="F5" s="7" t="s">
        <v>8</v>
      </c>
    </row>
    <row r="6" spans="1:10" ht="14.25" customHeight="1" x14ac:dyDescent="0.35">
      <c r="B6" s="9" t="s">
        <v>9</v>
      </c>
      <c r="F6" s="7" t="s">
        <v>10</v>
      </c>
    </row>
    <row r="7" spans="1:10" ht="14.25" customHeight="1" x14ac:dyDescent="0.35"/>
    <row r="8" spans="1:10" ht="14.25" customHeight="1" x14ac:dyDescent="0.35">
      <c r="A8" s="10" t="s">
        <v>11</v>
      </c>
      <c r="B8" s="11">
        <v>2209</v>
      </c>
      <c r="C8" s="12"/>
    </row>
    <row r="9" spans="1:10" ht="14.25" customHeight="1" x14ac:dyDescent="0.35">
      <c r="A9" s="10" t="s">
        <v>12</v>
      </c>
      <c r="B9" s="11"/>
      <c r="C9" s="12"/>
    </row>
    <row r="10" spans="1:10" ht="14.25" customHeight="1" x14ac:dyDescent="0.35">
      <c r="A10" s="10"/>
      <c r="B10" s="13"/>
      <c r="C10" s="12"/>
    </row>
    <row r="11" spans="1:10" ht="14.25" customHeight="1" x14ac:dyDescent="0.35"/>
    <row r="12" spans="1:10" ht="14.25" customHeight="1" x14ac:dyDescent="0.35">
      <c r="A12" s="14" t="s">
        <v>13</v>
      </c>
      <c r="B12" s="14" t="s">
        <v>14</v>
      </c>
      <c r="C12" s="15" t="s">
        <v>15</v>
      </c>
      <c r="D12" s="15" t="s">
        <v>16</v>
      </c>
      <c r="E12" s="15" t="s">
        <v>17</v>
      </c>
      <c r="F12" s="15" t="s">
        <v>18</v>
      </c>
      <c r="G12" s="15" t="s">
        <v>19</v>
      </c>
      <c r="H12" s="15" t="s">
        <v>20</v>
      </c>
      <c r="I12" s="15" t="s">
        <v>20</v>
      </c>
      <c r="J12" s="15" t="s">
        <v>21</v>
      </c>
    </row>
    <row r="13" spans="1:10" ht="14.25" customHeight="1" x14ac:dyDescent="0.35">
      <c r="A13" s="16" t="s">
        <v>22</v>
      </c>
      <c r="B13" s="17" t="s">
        <v>23</v>
      </c>
      <c r="C13" s="18">
        <v>0.2986111111111111</v>
      </c>
      <c r="D13" s="18">
        <v>0.43402777777777779</v>
      </c>
      <c r="E13" s="19">
        <v>2</v>
      </c>
      <c r="F13" s="19">
        <v>2</v>
      </c>
      <c r="G13" s="19">
        <f t="shared" ref="G13:G16" si="0">SUM(E13:F13)</f>
        <v>4</v>
      </c>
      <c r="H13" s="19">
        <v>122.6</v>
      </c>
      <c r="J13" s="15"/>
    </row>
    <row r="14" spans="1:10" ht="14.25" customHeight="1" x14ac:dyDescent="0.35">
      <c r="A14" s="20">
        <v>46027</v>
      </c>
      <c r="B14" s="17" t="s">
        <v>24</v>
      </c>
      <c r="C14" s="21" t="s">
        <v>25</v>
      </c>
      <c r="D14" s="18">
        <v>0.50347222222222221</v>
      </c>
      <c r="E14" s="19">
        <v>0</v>
      </c>
      <c r="F14" s="19">
        <v>0</v>
      </c>
      <c r="G14" s="19">
        <f t="shared" si="0"/>
        <v>0</v>
      </c>
      <c r="H14" s="19">
        <v>123</v>
      </c>
      <c r="J14" s="15"/>
    </row>
    <row r="15" spans="1:10" ht="14.25" customHeight="1" x14ac:dyDescent="0.35">
      <c r="A15" s="22"/>
      <c r="B15" s="17" t="s">
        <v>23</v>
      </c>
      <c r="C15" s="18">
        <v>0.51041666666666663</v>
      </c>
      <c r="D15" s="18">
        <v>0.65625</v>
      </c>
      <c r="E15" s="19">
        <v>0</v>
      </c>
      <c r="F15" s="19">
        <v>0</v>
      </c>
      <c r="G15" s="19">
        <f t="shared" si="0"/>
        <v>0</v>
      </c>
      <c r="H15" s="19">
        <v>122.6</v>
      </c>
      <c r="J15" s="15"/>
    </row>
    <row r="16" spans="1:10" ht="14.25" customHeight="1" x14ac:dyDescent="0.35">
      <c r="A16" s="23"/>
      <c r="B16" s="17" t="s">
        <v>24</v>
      </c>
      <c r="C16" s="18">
        <v>0.65972222222222221</v>
      </c>
      <c r="D16" s="18">
        <v>0.72916666666666663</v>
      </c>
      <c r="E16" s="19">
        <v>3</v>
      </c>
      <c r="F16" s="19">
        <v>3</v>
      </c>
      <c r="G16" s="19">
        <f t="shared" si="0"/>
        <v>6</v>
      </c>
      <c r="H16" s="19">
        <v>123</v>
      </c>
      <c r="J16" s="15"/>
    </row>
    <row r="17" spans="1:10" ht="14.25" customHeight="1" x14ac:dyDescent="0.35">
      <c r="D17" s="24" t="s">
        <v>26</v>
      </c>
      <c r="E17" s="19">
        <f t="shared" ref="E17:H17" si="1">SUM(E13:E16)</f>
        <v>5</v>
      </c>
      <c r="F17" s="19">
        <f t="shared" si="1"/>
        <v>5</v>
      </c>
      <c r="G17" s="19">
        <f t="shared" si="1"/>
        <v>10</v>
      </c>
      <c r="H17" s="19">
        <f t="shared" si="1"/>
        <v>491.2</v>
      </c>
      <c r="I17" s="25">
        <f>+H17</f>
        <v>491.2</v>
      </c>
      <c r="J17" s="15"/>
    </row>
    <row r="18" spans="1:10" ht="14.25" customHeight="1" x14ac:dyDescent="0.35">
      <c r="J18" s="15"/>
    </row>
    <row r="19" spans="1:10" ht="14.25" customHeight="1" x14ac:dyDescent="0.35">
      <c r="A19" s="14" t="s">
        <v>13</v>
      </c>
      <c r="B19" s="14" t="s">
        <v>14</v>
      </c>
      <c r="C19" s="15" t="s">
        <v>15</v>
      </c>
      <c r="D19" s="15" t="s">
        <v>16</v>
      </c>
      <c r="E19" s="15" t="s">
        <v>17</v>
      </c>
      <c r="F19" s="15" t="s">
        <v>18</v>
      </c>
      <c r="G19" s="15" t="s">
        <v>19</v>
      </c>
      <c r="H19" s="15" t="s">
        <v>20</v>
      </c>
      <c r="J19" s="15"/>
    </row>
    <row r="20" spans="1:10" ht="14.25" customHeight="1" x14ac:dyDescent="0.35">
      <c r="A20" s="16" t="s">
        <v>27</v>
      </c>
      <c r="B20" s="17" t="s">
        <v>23</v>
      </c>
      <c r="C20" s="18">
        <v>0.30902777777777779</v>
      </c>
      <c r="D20" s="18">
        <v>0.4375</v>
      </c>
      <c r="E20" s="19">
        <v>4</v>
      </c>
      <c r="F20" s="19">
        <v>2</v>
      </c>
      <c r="G20" s="19">
        <v>6</v>
      </c>
      <c r="H20" s="19">
        <v>122.6</v>
      </c>
      <c r="J20" s="15"/>
    </row>
    <row r="21" spans="1:10" ht="14.25" customHeight="1" x14ac:dyDescent="0.35">
      <c r="A21" s="20">
        <v>46028</v>
      </c>
      <c r="B21" s="17" t="s">
        <v>24</v>
      </c>
      <c r="C21" s="18"/>
      <c r="D21" s="18"/>
      <c r="E21" s="19">
        <v>0</v>
      </c>
      <c r="F21" s="19">
        <v>0</v>
      </c>
      <c r="G21" s="19">
        <v>0</v>
      </c>
      <c r="H21" s="19">
        <v>0</v>
      </c>
      <c r="J21" s="15"/>
    </row>
    <row r="22" spans="1:10" ht="14.25" customHeight="1" x14ac:dyDescent="0.35">
      <c r="A22" s="26"/>
      <c r="B22" s="17" t="s">
        <v>23</v>
      </c>
      <c r="C22" s="18"/>
      <c r="D22" s="18"/>
      <c r="E22" s="19">
        <v>0</v>
      </c>
      <c r="F22" s="19">
        <v>0</v>
      </c>
      <c r="G22" s="19">
        <v>0</v>
      </c>
      <c r="H22" s="19">
        <v>0</v>
      </c>
      <c r="J22" s="15"/>
    </row>
    <row r="23" spans="1:10" ht="14.25" customHeight="1" x14ac:dyDescent="0.35">
      <c r="A23" s="23"/>
      <c r="B23" s="17" t="s">
        <v>24</v>
      </c>
      <c r="C23" s="18">
        <v>0.67708333333333337</v>
      </c>
      <c r="D23" s="18">
        <v>0.72569444444444442</v>
      </c>
      <c r="E23" s="19">
        <v>6</v>
      </c>
      <c r="F23" s="19">
        <v>5</v>
      </c>
      <c r="G23" s="19">
        <v>11</v>
      </c>
      <c r="H23" s="19">
        <v>123</v>
      </c>
      <c r="J23" s="15"/>
    </row>
    <row r="24" spans="1:10" ht="14.25" customHeight="1" x14ac:dyDescent="0.35">
      <c r="D24" s="24" t="s">
        <v>26</v>
      </c>
      <c r="E24" s="19">
        <f t="shared" ref="E24:F24" si="2">SUM(E20:E23)</f>
        <v>10</v>
      </c>
      <c r="F24" s="19">
        <f t="shared" si="2"/>
        <v>7</v>
      </c>
      <c r="G24" s="19">
        <v>17</v>
      </c>
      <c r="H24" s="19">
        <f>SUM(H20:H23)</f>
        <v>245.6</v>
      </c>
      <c r="I24" s="25">
        <f>+H24</f>
        <v>245.6</v>
      </c>
      <c r="J24" s="15"/>
    </row>
    <row r="25" spans="1:10" ht="14.25" customHeight="1" x14ac:dyDescent="0.35">
      <c r="J25" s="15"/>
    </row>
    <row r="26" spans="1:10" ht="14.25" customHeight="1" x14ac:dyDescent="0.35">
      <c r="A26" s="14" t="s">
        <v>13</v>
      </c>
      <c r="B26" s="14" t="s">
        <v>14</v>
      </c>
      <c r="C26" s="15" t="s">
        <v>15</v>
      </c>
      <c r="D26" s="15" t="s">
        <v>16</v>
      </c>
      <c r="E26" s="15" t="s">
        <v>17</v>
      </c>
      <c r="F26" s="15" t="s">
        <v>18</v>
      </c>
      <c r="G26" s="15" t="s">
        <v>19</v>
      </c>
      <c r="H26" s="15" t="s">
        <v>20</v>
      </c>
      <c r="J26" s="15"/>
    </row>
    <row r="27" spans="1:10" ht="14.25" customHeight="1" x14ac:dyDescent="0.35">
      <c r="A27" s="16" t="s">
        <v>28</v>
      </c>
      <c r="B27" s="17" t="s">
        <v>23</v>
      </c>
      <c r="C27" s="18">
        <v>0.30902777777777779</v>
      </c>
      <c r="D27" s="18">
        <v>0.4375</v>
      </c>
      <c r="E27" s="19">
        <v>5</v>
      </c>
      <c r="F27" s="19">
        <v>4</v>
      </c>
      <c r="G27" s="19">
        <f t="shared" ref="G27:G30" si="3">SUM(E27:F27)</f>
        <v>9</v>
      </c>
      <c r="H27" s="19">
        <v>122.6</v>
      </c>
      <c r="J27" s="15"/>
    </row>
    <row r="28" spans="1:10" ht="14.25" customHeight="1" x14ac:dyDescent="0.35">
      <c r="A28" s="20">
        <v>46029</v>
      </c>
      <c r="B28" s="17" t="s">
        <v>24</v>
      </c>
      <c r="C28" s="18">
        <v>0.45833333333333331</v>
      </c>
      <c r="D28" s="18">
        <v>0.51041666666666663</v>
      </c>
      <c r="E28" s="19">
        <v>2</v>
      </c>
      <c r="F28" s="19">
        <v>2</v>
      </c>
      <c r="G28" s="19">
        <f t="shared" si="3"/>
        <v>4</v>
      </c>
      <c r="H28" s="19">
        <v>123</v>
      </c>
      <c r="J28" s="15"/>
    </row>
    <row r="29" spans="1:10" ht="14.25" customHeight="1" x14ac:dyDescent="0.35">
      <c r="A29" s="26"/>
      <c r="B29" s="17" t="s">
        <v>23</v>
      </c>
      <c r="C29" s="18">
        <v>0.51388888888888884</v>
      </c>
      <c r="D29" s="18">
        <v>0.65625</v>
      </c>
      <c r="E29" s="19">
        <v>0</v>
      </c>
      <c r="F29" s="19">
        <v>0</v>
      </c>
      <c r="G29" s="19">
        <f t="shared" si="3"/>
        <v>0</v>
      </c>
      <c r="H29" s="19">
        <v>122.6</v>
      </c>
      <c r="J29" s="15"/>
    </row>
    <row r="30" spans="1:10" ht="14.25" customHeight="1" x14ac:dyDescent="0.35">
      <c r="A30" s="23"/>
      <c r="B30" s="17" t="s">
        <v>24</v>
      </c>
      <c r="C30" s="18">
        <v>0.67013888888888884</v>
      </c>
      <c r="D30" s="18">
        <v>0.72916666666666663</v>
      </c>
      <c r="E30" s="19">
        <v>6</v>
      </c>
      <c r="F30" s="19">
        <v>4</v>
      </c>
      <c r="G30" s="19">
        <f t="shared" si="3"/>
        <v>10</v>
      </c>
      <c r="H30" s="19">
        <v>123</v>
      </c>
      <c r="J30" s="15"/>
    </row>
    <row r="31" spans="1:10" ht="14.25" customHeight="1" x14ac:dyDescent="0.35">
      <c r="D31" s="24" t="s">
        <v>26</v>
      </c>
      <c r="E31" s="19">
        <f t="shared" ref="E31:H31" si="4">SUM(E27:E30)</f>
        <v>13</v>
      </c>
      <c r="F31" s="19">
        <f t="shared" si="4"/>
        <v>10</v>
      </c>
      <c r="G31" s="19">
        <f t="shared" si="4"/>
        <v>23</v>
      </c>
      <c r="H31" s="19">
        <f t="shared" si="4"/>
        <v>491.2</v>
      </c>
      <c r="I31" s="25">
        <f>+H31</f>
        <v>491.2</v>
      </c>
      <c r="J31" s="15"/>
    </row>
    <row r="32" spans="1:10" ht="14.25" customHeight="1" x14ac:dyDescent="0.35">
      <c r="J32" s="15"/>
    </row>
    <row r="33" spans="1:10" ht="14.25" customHeight="1" x14ac:dyDescent="0.35">
      <c r="A33" s="14" t="s">
        <v>13</v>
      </c>
      <c r="B33" s="14" t="s">
        <v>14</v>
      </c>
      <c r="C33" s="15" t="s">
        <v>15</v>
      </c>
      <c r="D33" s="15" t="s">
        <v>16</v>
      </c>
      <c r="E33" s="15" t="s">
        <v>17</v>
      </c>
      <c r="F33" s="15" t="s">
        <v>18</v>
      </c>
      <c r="G33" s="15" t="s">
        <v>19</v>
      </c>
      <c r="H33" s="15" t="s">
        <v>20</v>
      </c>
      <c r="J33" s="15"/>
    </row>
    <row r="34" spans="1:10" ht="14.25" customHeight="1" x14ac:dyDescent="0.35">
      <c r="A34" s="16" t="s">
        <v>29</v>
      </c>
      <c r="B34" s="17" t="s">
        <v>23</v>
      </c>
      <c r="C34" s="18">
        <v>0.3125</v>
      </c>
      <c r="D34" s="18">
        <v>0.44791666666666669</v>
      </c>
      <c r="E34" s="19">
        <v>6</v>
      </c>
      <c r="F34" s="19">
        <v>5</v>
      </c>
      <c r="G34" s="19">
        <f t="shared" ref="G34:G37" si="5">SUM(E34:F34)</f>
        <v>11</v>
      </c>
      <c r="H34" s="19">
        <v>122.6</v>
      </c>
      <c r="J34" s="15"/>
    </row>
    <row r="35" spans="1:10" ht="14.25" customHeight="1" x14ac:dyDescent="0.35">
      <c r="A35" s="20">
        <v>46030</v>
      </c>
      <c r="B35" s="17" t="s">
        <v>24</v>
      </c>
      <c r="C35" s="18">
        <v>0.45833333333333331</v>
      </c>
      <c r="D35" s="18">
        <v>0.50347222222222221</v>
      </c>
      <c r="E35" s="19">
        <v>2</v>
      </c>
      <c r="F35" s="19">
        <v>1</v>
      </c>
      <c r="G35" s="19">
        <f t="shared" si="5"/>
        <v>3</v>
      </c>
      <c r="H35" s="19">
        <v>123</v>
      </c>
      <c r="J35" s="15"/>
    </row>
    <row r="36" spans="1:10" ht="14.25" customHeight="1" x14ac:dyDescent="0.35">
      <c r="A36" s="26"/>
      <c r="B36" s="17" t="s">
        <v>23</v>
      </c>
      <c r="C36" s="18">
        <v>0.51388888888888884</v>
      </c>
      <c r="D36" s="18">
        <v>0.65277777777777779</v>
      </c>
      <c r="E36" s="19">
        <v>0</v>
      </c>
      <c r="F36" s="19">
        <v>0</v>
      </c>
      <c r="G36" s="19">
        <f t="shared" si="5"/>
        <v>0</v>
      </c>
      <c r="H36" s="19">
        <v>122.6</v>
      </c>
      <c r="J36" s="15"/>
    </row>
    <row r="37" spans="1:10" ht="14.25" customHeight="1" x14ac:dyDescent="0.35">
      <c r="A37" s="23"/>
      <c r="B37" s="17" t="s">
        <v>24</v>
      </c>
      <c r="C37" s="18">
        <v>0.57638888888888884</v>
      </c>
      <c r="D37" s="18">
        <v>0.73611111111111116</v>
      </c>
      <c r="E37" s="19">
        <v>5</v>
      </c>
      <c r="F37" s="19">
        <v>3</v>
      </c>
      <c r="G37" s="19">
        <f t="shared" si="5"/>
        <v>8</v>
      </c>
      <c r="H37" s="19">
        <v>123</v>
      </c>
      <c r="J37" s="15"/>
    </row>
    <row r="38" spans="1:10" ht="14.25" customHeight="1" x14ac:dyDescent="0.35">
      <c r="D38" s="24" t="s">
        <v>26</v>
      </c>
      <c r="E38" s="19">
        <f t="shared" ref="E38:H38" si="6">SUM(E34:E37)</f>
        <v>13</v>
      </c>
      <c r="F38" s="19">
        <f t="shared" si="6"/>
        <v>9</v>
      </c>
      <c r="G38" s="19">
        <f t="shared" si="6"/>
        <v>22</v>
      </c>
      <c r="H38" s="19">
        <f t="shared" si="6"/>
        <v>491.2</v>
      </c>
      <c r="I38" s="25">
        <f>+H38</f>
        <v>491.2</v>
      </c>
      <c r="J38" s="15"/>
    </row>
    <row r="39" spans="1:10" ht="14.25" customHeight="1" x14ac:dyDescent="0.35">
      <c r="J39" s="15"/>
    </row>
    <row r="40" spans="1:10" ht="14.25" customHeight="1" x14ac:dyDescent="0.35">
      <c r="A40" s="14" t="s">
        <v>13</v>
      </c>
      <c r="B40" s="14" t="s">
        <v>14</v>
      </c>
      <c r="C40" s="15" t="s">
        <v>15</v>
      </c>
      <c r="D40" s="15" t="s">
        <v>16</v>
      </c>
      <c r="E40" s="15" t="s">
        <v>17</v>
      </c>
      <c r="F40" s="15" t="s">
        <v>18</v>
      </c>
      <c r="G40" s="15" t="s">
        <v>19</v>
      </c>
      <c r="H40" s="15" t="s">
        <v>20</v>
      </c>
      <c r="J40" s="15"/>
    </row>
    <row r="41" spans="1:10" ht="14.25" customHeight="1" x14ac:dyDescent="0.35">
      <c r="A41" s="16" t="s">
        <v>30</v>
      </c>
      <c r="B41" s="17" t="s">
        <v>23</v>
      </c>
      <c r="C41" s="18">
        <v>0.30555555555555558</v>
      </c>
      <c r="D41" s="18">
        <v>0.43402777777777779</v>
      </c>
      <c r="E41" s="19">
        <v>6</v>
      </c>
      <c r="F41" s="19">
        <v>5</v>
      </c>
      <c r="G41" s="19">
        <f t="shared" ref="G41:G44" si="7">SUM(E41:F41)</f>
        <v>11</v>
      </c>
      <c r="H41" s="19">
        <v>122.6</v>
      </c>
      <c r="J41" s="15"/>
    </row>
    <row r="42" spans="1:10" ht="14.25" customHeight="1" x14ac:dyDescent="0.35">
      <c r="A42" s="20">
        <v>46031</v>
      </c>
      <c r="B42" s="17" t="s">
        <v>24</v>
      </c>
      <c r="C42" s="18">
        <v>0.45833333333333331</v>
      </c>
      <c r="D42" s="18">
        <v>0.50347222222222221</v>
      </c>
      <c r="E42" s="19">
        <v>2</v>
      </c>
      <c r="F42" s="19">
        <v>2</v>
      </c>
      <c r="G42" s="19">
        <f t="shared" si="7"/>
        <v>4</v>
      </c>
      <c r="H42" s="19">
        <v>123</v>
      </c>
      <c r="J42" s="15"/>
    </row>
    <row r="43" spans="1:10" ht="14.25" customHeight="1" x14ac:dyDescent="0.35">
      <c r="A43" s="26"/>
      <c r="B43" s="17" t="s">
        <v>23</v>
      </c>
      <c r="C43" s="18">
        <v>0.51041666666666663</v>
      </c>
      <c r="D43" s="18">
        <v>0.65277777777777779</v>
      </c>
      <c r="E43" s="19">
        <v>0</v>
      </c>
      <c r="F43" s="19">
        <v>0</v>
      </c>
      <c r="G43" s="19">
        <f t="shared" si="7"/>
        <v>0</v>
      </c>
      <c r="H43" s="19">
        <v>122.6</v>
      </c>
      <c r="J43" s="15"/>
    </row>
    <row r="44" spans="1:10" ht="14.25" customHeight="1" x14ac:dyDescent="0.35">
      <c r="A44" s="23"/>
      <c r="B44" s="17" t="s">
        <v>24</v>
      </c>
      <c r="C44" s="18">
        <v>0.66666666666666663</v>
      </c>
      <c r="D44" s="18">
        <v>0.73958333333333337</v>
      </c>
      <c r="E44" s="19">
        <v>4</v>
      </c>
      <c r="F44" s="19">
        <v>2</v>
      </c>
      <c r="G44" s="19">
        <f t="shared" si="7"/>
        <v>6</v>
      </c>
      <c r="H44" s="19">
        <v>123</v>
      </c>
      <c r="J44" s="15"/>
    </row>
    <row r="45" spans="1:10" ht="14.25" customHeight="1" x14ac:dyDescent="0.35">
      <c r="D45" s="24" t="s">
        <v>26</v>
      </c>
      <c r="E45" s="19">
        <f t="shared" ref="E45:H45" si="8">SUM(E41:E44)</f>
        <v>12</v>
      </c>
      <c r="F45" s="19">
        <f t="shared" si="8"/>
        <v>9</v>
      </c>
      <c r="G45" s="19">
        <f t="shared" si="8"/>
        <v>21</v>
      </c>
      <c r="H45" s="19">
        <f t="shared" si="8"/>
        <v>491.2</v>
      </c>
      <c r="I45" s="25">
        <f>+H45</f>
        <v>491.2</v>
      </c>
    </row>
    <row r="46" spans="1:10" ht="14.25" customHeight="1" x14ac:dyDescent="0.35"/>
    <row r="47" spans="1:10" ht="14.25" customHeight="1" x14ac:dyDescent="0.35">
      <c r="A47" s="9" t="s">
        <v>31</v>
      </c>
    </row>
    <row r="48" spans="1:10" ht="14.25" customHeight="1" x14ac:dyDescent="0.35">
      <c r="A48" s="9" t="s">
        <v>32</v>
      </c>
    </row>
    <row r="49" spans="1:9" ht="14.25" customHeight="1" x14ac:dyDescent="0.35">
      <c r="A49" s="9" t="s">
        <v>33</v>
      </c>
    </row>
    <row r="50" spans="1:9" ht="14.25" customHeight="1" x14ac:dyDescent="0.35"/>
    <row r="51" spans="1:9" ht="14.25" customHeight="1" x14ac:dyDescent="0.6">
      <c r="A51" s="10" t="s">
        <v>34</v>
      </c>
      <c r="B51" s="27" t="s">
        <v>35</v>
      </c>
      <c r="E51" s="10" t="s">
        <v>36</v>
      </c>
      <c r="F51" s="28">
        <v>46031</v>
      </c>
      <c r="I51" s="9">
        <f>SUM(I17:I50)</f>
        <v>2210.4</v>
      </c>
    </row>
    <row r="52" spans="1:9" ht="14.25" customHeight="1" x14ac:dyDescent="0.35"/>
    <row r="53" spans="1:9" ht="14.25" customHeight="1" x14ac:dyDescent="0.35"/>
    <row r="54" spans="1:9" ht="14.25" customHeight="1" x14ac:dyDescent="0.35"/>
    <row r="55" spans="1:9" ht="14.25" customHeight="1" x14ac:dyDescent="0.35"/>
    <row r="56" spans="1:9" ht="14.25" customHeight="1" x14ac:dyDescent="0.35"/>
    <row r="57" spans="1:9" ht="14.25" customHeight="1" x14ac:dyDescent="0.35"/>
    <row r="58" spans="1:9" ht="14.25" customHeight="1" x14ac:dyDescent="0.35"/>
    <row r="59" spans="1:9" ht="14.25" customHeight="1" x14ac:dyDescent="0.35"/>
    <row r="60" spans="1:9" ht="14.25" customHeight="1" x14ac:dyDescent="0.35"/>
    <row r="61" spans="1:9" ht="14.25" customHeight="1" x14ac:dyDescent="0.35"/>
    <row r="62" spans="1:9" ht="14.25" customHeight="1" x14ac:dyDescent="0.35"/>
    <row r="63" spans="1:9" ht="14.25" customHeight="1" x14ac:dyDescent="0.35"/>
    <row r="64" spans="1:9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rintOptions horizontalCentered="1"/>
  <pageMargins left="0.75" right="0.75" top="1" bottom="1" header="0" footer="0"/>
  <pageSetup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dcterms:created xsi:type="dcterms:W3CDTF">2025-07-31T17:44:29Z</dcterms:created>
  <dcterms:modified xsi:type="dcterms:W3CDTF">2026-02-03T22:09:29Z</dcterms:modified>
</cp:coreProperties>
</file>