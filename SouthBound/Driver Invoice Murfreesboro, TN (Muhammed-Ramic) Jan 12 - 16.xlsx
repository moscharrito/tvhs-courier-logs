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 2-Muhammed-Ramic Packet\January-LOgs\"/>
    </mc:Choice>
  </mc:AlternateContent>
  <xr:revisionPtr revIDLastSave="0" documentId="13_ncr:1_{E7FACF7F-0C83-47B9-8F45-5C9FE07452E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E28" i="1"/>
  <c r="G44" i="1" l="1"/>
  <c r="G53" i="1"/>
  <c r="G13" i="1"/>
  <c r="G14" i="1"/>
  <c r="G15" i="1"/>
  <c r="G27" i="1"/>
  <c r="G35" i="1" l="1"/>
  <c r="G26" i="1"/>
  <c r="G17" i="1"/>
  <c r="E55" i="1" l="1"/>
  <c r="I45" i="1"/>
  <c r="F55" i="1"/>
  <c r="I38" i="1"/>
  <c r="I31" i="1"/>
  <c r="I24" i="1"/>
  <c r="E19" i="1"/>
  <c r="F19" i="1"/>
  <c r="I17" i="1"/>
  <c r="G55" i="1" l="1"/>
  <c r="I51" i="1"/>
  <c r="G46" i="1"/>
  <c r="G37" i="1"/>
  <c r="G28" i="1"/>
</calcChain>
</file>

<file path=xl/sharedStrings.xml><?xml version="1.0" encoding="utf-8"?>
<sst xmlns="http://schemas.openxmlformats.org/spreadsheetml/2006/main" count="158" uniqueCount="46">
  <si>
    <t>Izy Global Services LLC</t>
  </si>
  <si>
    <t>4869 Madyson Ridge Dr.</t>
  </si>
  <si>
    <t>Fort Worth, TX 76133</t>
  </si>
  <si>
    <t>Driver Invoice</t>
  </si>
  <si>
    <t>Invoice Date:</t>
  </si>
  <si>
    <t>Invoice Number:</t>
  </si>
  <si>
    <t>Date</t>
  </si>
  <si>
    <t>Notes:</t>
  </si>
  <si>
    <t>- Submit this invoice every Friday for the current week.</t>
  </si>
  <si>
    <t>- Attach scanned BOLs or mileage logs as supporting documentation.</t>
  </si>
  <si>
    <t>Phone: (713) 992-0481 | Email: freights@izymovers.com</t>
  </si>
  <si>
    <t xml:space="preserve">Driver Name: </t>
  </si>
  <si>
    <t>Miles Driven</t>
  </si>
  <si>
    <t>Sterile Transported</t>
  </si>
  <si>
    <t>Soiled Transported</t>
  </si>
  <si>
    <t>Route Leg</t>
  </si>
  <si>
    <t>Total Totes Transported</t>
  </si>
  <si>
    <t>submit to :</t>
  </si>
  <si>
    <t>Daily Totals :</t>
  </si>
  <si>
    <t>Monday</t>
  </si>
  <si>
    <t>Date:</t>
  </si>
  <si>
    <t>Driver Signature</t>
  </si>
  <si>
    <t>Total Routes Completed:</t>
  </si>
  <si>
    <t>Tuesday</t>
  </si>
  <si>
    <t>Wednesday</t>
  </si>
  <si>
    <t>Thursday</t>
  </si>
  <si>
    <t>Friday</t>
  </si>
  <si>
    <t>Total Weekly Miles :</t>
  </si>
  <si>
    <t>Leg Completion</t>
  </si>
  <si>
    <t>Leg Start  Time</t>
  </si>
  <si>
    <t>Muhammed Ramic</t>
  </si>
  <si>
    <t>Murfreesboro to Clarksville</t>
  </si>
  <si>
    <t>8:30am</t>
  </si>
  <si>
    <t>Clarksville to Fort Campbell</t>
  </si>
  <si>
    <t>11:00am</t>
  </si>
  <si>
    <t>Fort Campbell to Clarksville</t>
  </si>
  <si>
    <t>3:30pm</t>
  </si>
  <si>
    <t>10:30am</t>
  </si>
  <si>
    <t>4:00pm</t>
  </si>
  <si>
    <t>Clarksville to Murfreesboro</t>
  </si>
  <si>
    <t>6:30pm</t>
  </si>
  <si>
    <t>Ramic Muhamed</t>
  </si>
  <si>
    <t>Nashville to Murfreesboro</t>
  </si>
  <si>
    <t>Murfreesboro to Nashville</t>
  </si>
  <si>
    <t>9:30am</t>
  </si>
  <si>
    <t>1:00pm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</si>
</sst>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Dreaming Outloud Script Pro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2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left" indent="1"/>
    </xf>
    <xf numFmtId="0" fontId="7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20" fontId="0" fillId="0" borderId="3" xfId="0" applyNumberFormat="1" applyBorder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1"/>
  <sheetViews>
    <sheetView tabSelected="1" workbookViewId="0">
      <selection activeCell="D9" sqref="D9"/>
    </sheetView>
  </sheetViews>
  <sheetFormatPr defaultRowHeight="14.5" x14ac:dyDescent="0.35"/>
  <cols>
    <col min="1" max="1" width="22.7265625" customWidth="1"/>
    <col min="2" max="2" width="27.7265625" bestFit="1" customWidth="1"/>
    <col min="3" max="3" width="11.7265625" bestFit="1" customWidth="1"/>
    <col min="4" max="4" width="12.1796875" bestFit="1" customWidth="1"/>
    <col min="5" max="7" width="12.7265625" customWidth="1"/>
    <col min="8" max="8" width="9.453125" bestFit="1" customWidth="1"/>
    <col min="9" max="9" width="0" hidden="1" customWidth="1"/>
  </cols>
  <sheetData>
    <row r="1" spans="1:8" ht="21" x14ac:dyDescent="0.5">
      <c r="A1" s="6" t="s">
        <v>3</v>
      </c>
    </row>
    <row r="2" spans="1:8" x14ac:dyDescent="0.35">
      <c r="F2" s="5" t="s">
        <v>17</v>
      </c>
    </row>
    <row r="3" spans="1:8" ht="18.5" x14ac:dyDescent="0.45">
      <c r="A3" s="19" t="s">
        <v>11</v>
      </c>
      <c r="B3" s="22" t="s">
        <v>30</v>
      </c>
      <c r="F3" s="3" t="s">
        <v>0</v>
      </c>
    </row>
    <row r="4" spans="1:8" ht="15.5" x14ac:dyDescent="0.35">
      <c r="A4" s="19" t="s">
        <v>4</v>
      </c>
      <c r="B4" s="25">
        <v>46038</v>
      </c>
      <c r="F4" s="2" t="s">
        <v>1</v>
      </c>
    </row>
    <row r="5" spans="1:8" ht="15.5" x14ac:dyDescent="0.35">
      <c r="A5" s="19" t="s">
        <v>5</v>
      </c>
      <c r="B5" s="26"/>
      <c r="F5" s="2" t="s">
        <v>2</v>
      </c>
    </row>
    <row r="6" spans="1:8" x14ac:dyDescent="0.35">
      <c r="F6" s="2" t="s">
        <v>10</v>
      </c>
    </row>
    <row r="8" spans="1:8" x14ac:dyDescent="0.35">
      <c r="A8" s="16" t="s">
        <v>27</v>
      </c>
      <c r="B8" s="17">
        <v>950</v>
      </c>
      <c r="C8" s="4"/>
    </row>
    <row r="9" spans="1:8" x14ac:dyDescent="0.35">
      <c r="A9" s="16" t="s">
        <v>22</v>
      </c>
      <c r="B9" s="17">
        <v>1</v>
      </c>
      <c r="C9" s="4"/>
    </row>
    <row r="10" spans="1:8" ht="15.5" x14ac:dyDescent="0.35">
      <c r="A10" s="16"/>
      <c r="B10" s="23"/>
      <c r="C10" s="4"/>
    </row>
    <row r="12" spans="1:8" ht="29" x14ac:dyDescent="0.35">
      <c r="A12" s="7" t="s">
        <v>6</v>
      </c>
      <c r="B12" s="7" t="s">
        <v>15</v>
      </c>
      <c r="C12" s="1" t="s">
        <v>29</v>
      </c>
      <c r="D12" s="1" t="s">
        <v>28</v>
      </c>
      <c r="E12" s="1" t="s">
        <v>13</v>
      </c>
      <c r="F12" s="1" t="s">
        <v>14</v>
      </c>
      <c r="G12" s="1" t="s">
        <v>16</v>
      </c>
      <c r="H12" s="1" t="s">
        <v>12</v>
      </c>
    </row>
    <row r="13" spans="1:8" x14ac:dyDescent="0.35">
      <c r="A13" s="8" t="s">
        <v>19</v>
      </c>
      <c r="B13" s="12" t="s">
        <v>31</v>
      </c>
      <c r="C13" s="13" t="s">
        <v>32</v>
      </c>
      <c r="D13" s="13" t="s">
        <v>37</v>
      </c>
      <c r="E13" s="14">
        <v>2</v>
      </c>
      <c r="F13" s="14">
        <v>2</v>
      </c>
      <c r="G13" s="14">
        <f>SUM(E13,F13)</f>
        <v>4</v>
      </c>
      <c r="H13" s="14">
        <v>80</v>
      </c>
    </row>
    <row r="14" spans="1:8" x14ac:dyDescent="0.35">
      <c r="A14" s="9">
        <v>46034</v>
      </c>
      <c r="B14" s="12" t="s">
        <v>33</v>
      </c>
      <c r="C14" s="13" t="s">
        <v>37</v>
      </c>
      <c r="D14" s="14" t="s">
        <v>34</v>
      </c>
      <c r="E14" s="14">
        <v>2</v>
      </c>
      <c r="F14" s="14">
        <v>3</v>
      </c>
      <c r="G14" s="14">
        <f t="shared" ref="G14:G15" si="0">SUM(E14:F14)</f>
        <v>5</v>
      </c>
      <c r="H14" s="14">
        <v>15</v>
      </c>
    </row>
    <row r="15" spans="1:8" x14ac:dyDescent="0.35">
      <c r="A15" s="10"/>
      <c r="B15" s="12" t="s">
        <v>35</v>
      </c>
      <c r="C15" s="13" t="s">
        <v>36</v>
      </c>
      <c r="D15" s="14" t="s">
        <v>38</v>
      </c>
      <c r="E15" s="14">
        <v>3</v>
      </c>
      <c r="F15" s="14">
        <v>2</v>
      </c>
      <c r="G15" s="14">
        <f t="shared" si="0"/>
        <v>5</v>
      </c>
      <c r="H15" s="14">
        <v>15</v>
      </c>
    </row>
    <row r="16" spans="1:8" x14ac:dyDescent="0.35">
      <c r="A16" s="11"/>
      <c r="B16" s="12" t="s">
        <v>39</v>
      </c>
      <c r="C16" s="13" t="s">
        <v>38</v>
      </c>
      <c r="D16" s="14" t="s">
        <v>40</v>
      </c>
      <c r="E16" s="14">
        <v>3</v>
      </c>
      <c r="F16" s="14">
        <v>2</v>
      </c>
      <c r="G16" s="14">
        <v>5</v>
      </c>
      <c r="H16" s="14">
        <v>80</v>
      </c>
    </row>
    <row r="17" spans="1:9" x14ac:dyDescent="0.35">
      <c r="B17" s="10" t="s">
        <v>42</v>
      </c>
      <c r="C17" s="27" t="s">
        <v>45</v>
      </c>
      <c r="D17" s="28" t="s">
        <v>40</v>
      </c>
      <c r="E17" s="21">
        <v>0</v>
      </c>
      <c r="F17" s="21">
        <v>0</v>
      </c>
      <c r="G17" s="21">
        <f>SUM(E17:F17)</f>
        <v>0</v>
      </c>
      <c r="H17" s="14">
        <v>0</v>
      </c>
      <c r="I17" s="21" t="e">
        <f>+#REF!</f>
        <v>#REF!</v>
      </c>
    </row>
    <row r="18" spans="1:9" x14ac:dyDescent="0.35">
      <c r="B18" s="10" t="s">
        <v>43</v>
      </c>
      <c r="C18" s="27" t="s">
        <v>32</v>
      </c>
      <c r="D18" s="28" t="s">
        <v>44</v>
      </c>
      <c r="E18" s="21">
        <v>0</v>
      </c>
      <c r="F18" s="21">
        <v>0</v>
      </c>
      <c r="G18" s="21">
        <v>0</v>
      </c>
      <c r="H18" s="21">
        <v>0</v>
      </c>
    </row>
    <row r="19" spans="1:9" x14ac:dyDescent="0.35">
      <c r="D19" s="15" t="s">
        <v>18</v>
      </c>
      <c r="E19" s="14">
        <f>SUM(E13:E16)</f>
        <v>10</v>
      </c>
      <c r="F19" s="14">
        <f>SUM(F13:F16)</f>
        <v>9</v>
      </c>
      <c r="G19" s="14">
        <v>19</v>
      </c>
      <c r="H19" s="14">
        <v>190</v>
      </c>
    </row>
    <row r="21" spans="1:9" ht="29" x14ac:dyDescent="0.35">
      <c r="A21" s="7" t="s">
        <v>6</v>
      </c>
      <c r="B21" s="7" t="s">
        <v>15</v>
      </c>
      <c r="C21" s="1" t="s">
        <v>29</v>
      </c>
      <c r="D21" s="1" t="s">
        <v>28</v>
      </c>
      <c r="E21" s="1" t="s">
        <v>13</v>
      </c>
      <c r="F21" s="1" t="s">
        <v>14</v>
      </c>
      <c r="G21" s="1" t="s">
        <v>16</v>
      </c>
      <c r="H21" s="1" t="s">
        <v>12</v>
      </c>
    </row>
    <row r="22" spans="1:9" x14ac:dyDescent="0.35">
      <c r="A22" s="8" t="s">
        <v>23</v>
      </c>
      <c r="B22" s="12" t="s">
        <v>31</v>
      </c>
      <c r="C22" s="13" t="s">
        <v>32</v>
      </c>
      <c r="D22" s="14" t="s">
        <v>37</v>
      </c>
      <c r="E22" s="14">
        <v>2</v>
      </c>
      <c r="F22" s="14">
        <v>2</v>
      </c>
      <c r="G22" s="14">
        <v>4</v>
      </c>
      <c r="H22" s="14">
        <v>80</v>
      </c>
    </row>
    <row r="23" spans="1:9" x14ac:dyDescent="0.35">
      <c r="A23" s="9">
        <v>46035</v>
      </c>
      <c r="B23" s="12" t="s">
        <v>33</v>
      </c>
      <c r="C23" s="13" t="s">
        <v>37</v>
      </c>
      <c r="D23" s="14" t="s">
        <v>34</v>
      </c>
      <c r="E23" s="14">
        <v>3</v>
      </c>
      <c r="F23" s="14">
        <v>3</v>
      </c>
      <c r="G23" s="14">
        <v>6</v>
      </c>
      <c r="H23" s="14">
        <v>15</v>
      </c>
    </row>
    <row r="24" spans="1:9" x14ac:dyDescent="0.35">
      <c r="A24" s="10"/>
      <c r="B24" s="12" t="s">
        <v>35</v>
      </c>
      <c r="C24" s="13" t="s">
        <v>36</v>
      </c>
      <c r="D24" s="14" t="s">
        <v>38</v>
      </c>
      <c r="E24" s="14">
        <v>2</v>
      </c>
      <c r="F24" s="14">
        <v>3</v>
      </c>
      <c r="G24" s="14">
        <v>5</v>
      </c>
      <c r="H24" s="14">
        <v>15</v>
      </c>
      <c r="I24" s="21">
        <f>+H28</f>
        <v>190</v>
      </c>
    </row>
    <row r="25" spans="1:9" x14ac:dyDescent="0.35">
      <c r="A25" s="11"/>
      <c r="B25" s="12" t="s">
        <v>39</v>
      </c>
      <c r="C25" s="13" t="s">
        <v>38</v>
      </c>
      <c r="D25" s="14" t="s">
        <v>40</v>
      </c>
      <c r="E25" s="14">
        <v>2</v>
      </c>
      <c r="F25" s="14">
        <v>3</v>
      </c>
      <c r="G25" s="14">
        <v>5</v>
      </c>
      <c r="H25" s="14">
        <v>80</v>
      </c>
    </row>
    <row r="26" spans="1:9" x14ac:dyDescent="0.35">
      <c r="B26" s="10" t="s">
        <v>42</v>
      </c>
      <c r="C26" s="27" t="s">
        <v>45</v>
      </c>
      <c r="D26" s="28" t="s">
        <v>40</v>
      </c>
      <c r="E26" s="21">
        <v>0</v>
      </c>
      <c r="F26" s="21">
        <v>0</v>
      </c>
      <c r="G26" s="21">
        <f>SUM(E26:F26)</f>
        <v>0</v>
      </c>
      <c r="H26" s="21">
        <v>0</v>
      </c>
    </row>
    <row r="27" spans="1:9" x14ac:dyDescent="0.35">
      <c r="B27" s="10" t="s">
        <v>43</v>
      </c>
      <c r="C27" s="27" t="s">
        <v>32</v>
      </c>
      <c r="D27" s="28" t="s">
        <v>44</v>
      </c>
      <c r="E27" s="21">
        <v>0</v>
      </c>
      <c r="F27" s="21">
        <v>0</v>
      </c>
      <c r="G27" s="21">
        <f>SUM(E27:F27)</f>
        <v>0</v>
      </c>
      <c r="H27" s="21">
        <v>0</v>
      </c>
    </row>
    <row r="28" spans="1:9" x14ac:dyDescent="0.35">
      <c r="D28" s="15" t="s">
        <v>18</v>
      </c>
      <c r="E28" s="14">
        <f>SUM(E22:E27)</f>
        <v>9</v>
      </c>
      <c r="F28" s="14">
        <f>SUM(F22:F27)</f>
        <v>11</v>
      </c>
      <c r="G28" s="14">
        <f>SUM(G22:G25)</f>
        <v>20</v>
      </c>
      <c r="H28" s="14">
        <v>190</v>
      </c>
    </row>
    <row r="30" spans="1:9" ht="29" x14ac:dyDescent="0.35">
      <c r="A30" s="7" t="s">
        <v>6</v>
      </c>
      <c r="B30" s="7" t="s">
        <v>15</v>
      </c>
      <c r="C30" s="1" t="s">
        <v>29</v>
      </c>
      <c r="D30" s="1" t="s">
        <v>28</v>
      </c>
      <c r="E30" s="1" t="s">
        <v>13</v>
      </c>
      <c r="F30" s="1" t="s">
        <v>14</v>
      </c>
      <c r="G30" s="1" t="s">
        <v>16</v>
      </c>
      <c r="H30" s="1" t="s">
        <v>12</v>
      </c>
    </row>
    <row r="31" spans="1:9" x14ac:dyDescent="0.35">
      <c r="A31" s="8" t="s">
        <v>24</v>
      </c>
      <c r="B31" s="12" t="s">
        <v>31</v>
      </c>
      <c r="C31" s="13" t="s">
        <v>32</v>
      </c>
      <c r="D31" s="14" t="s">
        <v>37</v>
      </c>
      <c r="E31" s="14">
        <v>3</v>
      </c>
      <c r="F31" s="14">
        <v>2</v>
      </c>
      <c r="G31" s="14">
        <v>5</v>
      </c>
      <c r="H31" s="14">
        <v>80</v>
      </c>
      <c r="I31" s="21">
        <f>+H37</f>
        <v>190</v>
      </c>
    </row>
    <row r="32" spans="1:9" x14ac:dyDescent="0.35">
      <c r="A32" s="9">
        <v>46036</v>
      </c>
      <c r="B32" s="12" t="s">
        <v>33</v>
      </c>
      <c r="C32" s="13" t="s">
        <v>37</v>
      </c>
      <c r="D32" s="14" t="s">
        <v>34</v>
      </c>
      <c r="E32" s="14">
        <v>3</v>
      </c>
      <c r="F32" s="14">
        <v>3</v>
      </c>
      <c r="G32" s="14">
        <v>6</v>
      </c>
      <c r="H32" s="14">
        <v>15</v>
      </c>
      <c r="I32" s="14"/>
    </row>
    <row r="33" spans="1:9" x14ac:dyDescent="0.35">
      <c r="A33" s="10"/>
      <c r="B33" s="12" t="s">
        <v>35</v>
      </c>
      <c r="C33" s="13" t="s">
        <v>36</v>
      </c>
      <c r="D33" s="14" t="s">
        <v>38</v>
      </c>
      <c r="E33" s="14">
        <v>3</v>
      </c>
      <c r="F33" s="14">
        <v>2</v>
      </c>
      <c r="G33" s="14">
        <v>5</v>
      </c>
      <c r="H33" s="14">
        <v>15</v>
      </c>
    </row>
    <row r="34" spans="1:9" x14ac:dyDescent="0.35">
      <c r="A34" s="11"/>
      <c r="B34" s="12" t="s">
        <v>39</v>
      </c>
      <c r="C34" s="13" t="s">
        <v>38</v>
      </c>
      <c r="D34" s="14" t="s">
        <v>40</v>
      </c>
      <c r="E34" s="14">
        <v>3</v>
      </c>
      <c r="F34" s="14">
        <v>2</v>
      </c>
      <c r="G34" s="14">
        <v>5</v>
      </c>
      <c r="H34" s="14">
        <v>80</v>
      </c>
    </row>
    <row r="35" spans="1:9" x14ac:dyDescent="0.35">
      <c r="B35" s="10" t="s">
        <v>42</v>
      </c>
      <c r="C35" s="27" t="s">
        <v>45</v>
      </c>
      <c r="D35" s="28" t="s">
        <v>40</v>
      </c>
      <c r="E35" s="21"/>
      <c r="F35" s="21"/>
      <c r="G35" s="21">
        <f>SUM(E35:F35)</f>
        <v>0</v>
      </c>
      <c r="H35" s="21">
        <v>0</v>
      </c>
    </row>
    <row r="36" spans="1:9" x14ac:dyDescent="0.35">
      <c r="B36" s="10" t="s">
        <v>43</v>
      </c>
      <c r="C36" s="27" t="s">
        <v>32</v>
      </c>
      <c r="D36" s="28" t="s">
        <v>44</v>
      </c>
      <c r="E36" s="21">
        <v>0</v>
      </c>
      <c r="F36" s="21">
        <v>0</v>
      </c>
      <c r="G36" s="21">
        <v>0</v>
      </c>
      <c r="H36" s="21">
        <v>0</v>
      </c>
    </row>
    <row r="37" spans="1:9" x14ac:dyDescent="0.35">
      <c r="D37" s="15" t="s">
        <v>18</v>
      </c>
      <c r="E37" s="14">
        <v>0</v>
      </c>
      <c r="F37" s="14">
        <v>0</v>
      </c>
      <c r="G37" s="14">
        <f>SUM(G31:G34)</f>
        <v>21</v>
      </c>
      <c r="H37" s="14">
        <v>190</v>
      </c>
    </row>
    <row r="38" spans="1:9" x14ac:dyDescent="0.35">
      <c r="I38" s="21">
        <f>+H46</f>
        <v>190</v>
      </c>
    </row>
    <row r="39" spans="1:9" ht="29" x14ac:dyDescent="0.35">
      <c r="A39" s="7" t="s">
        <v>6</v>
      </c>
      <c r="B39" s="7" t="s">
        <v>15</v>
      </c>
      <c r="C39" s="1" t="s">
        <v>29</v>
      </c>
      <c r="D39" s="1" t="s">
        <v>28</v>
      </c>
      <c r="E39" s="1" t="s">
        <v>13</v>
      </c>
      <c r="F39" s="1" t="s">
        <v>14</v>
      </c>
      <c r="G39" s="1" t="s">
        <v>16</v>
      </c>
      <c r="H39" s="1" t="s">
        <v>12</v>
      </c>
    </row>
    <row r="40" spans="1:9" x14ac:dyDescent="0.35">
      <c r="A40" s="8" t="s">
        <v>25</v>
      </c>
      <c r="B40" s="12" t="s">
        <v>31</v>
      </c>
      <c r="C40" s="13" t="s">
        <v>32</v>
      </c>
      <c r="D40" s="14" t="s">
        <v>37</v>
      </c>
      <c r="E40" s="14">
        <v>2</v>
      </c>
      <c r="F40" s="14">
        <v>3</v>
      </c>
      <c r="G40" s="14">
        <v>5</v>
      </c>
      <c r="H40" s="14">
        <v>80</v>
      </c>
    </row>
    <row r="41" spans="1:9" x14ac:dyDescent="0.35">
      <c r="A41" s="9">
        <v>46037</v>
      </c>
      <c r="B41" s="12" t="s">
        <v>33</v>
      </c>
      <c r="C41" s="13" t="s">
        <v>37</v>
      </c>
      <c r="D41" s="14" t="s">
        <v>34</v>
      </c>
      <c r="E41" s="14">
        <v>2</v>
      </c>
      <c r="F41" s="14">
        <v>3</v>
      </c>
      <c r="G41" s="14">
        <v>5</v>
      </c>
      <c r="H41" s="14">
        <v>15</v>
      </c>
    </row>
    <row r="42" spans="1:9" x14ac:dyDescent="0.35">
      <c r="A42" s="10"/>
      <c r="B42" s="12" t="s">
        <v>35</v>
      </c>
      <c r="C42" s="13" t="s">
        <v>36</v>
      </c>
      <c r="D42" s="14" t="s">
        <v>38</v>
      </c>
      <c r="E42" s="14">
        <v>3</v>
      </c>
      <c r="F42" s="14">
        <v>2</v>
      </c>
      <c r="G42" s="14">
        <v>5</v>
      </c>
      <c r="H42" s="14">
        <v>15</v>
      </c>
    </row>
    <row r="43" spans="1:9" x14ac:dyDescent="0.35">
      <c r="A43" s="11"/>
      <c r="B43" s="12" t="s">
        <v>39</v>
      </c>
      <c r="C43" s="13" t="s">
        <v>38</v>
      </c>
      <c r="D43" s="14" t="s">
        <v>40</v>
      </c>
      <c r="E43" s="14">
        <v>4</v>
      </c>
      <c r="F43" s="14">
        <v>2</v>
      </c>
      <c r="G43" s="14">
        <v>6</v>
      </c>
      <c r="H43" s="14">
        <v>80</v>
      </c>
    </row>
    <row r="44" spans="1:9" x14ac:dyDescent="0.35">
      <c r="B44" s="10" t="s">
        <v>42</v>
      </c>
      <c r="C44" s="27" t="s">
        <v>45</v>
      </c>
      <c r="D44" s="28" t="s">
        <v>40</v>
      </c>
      <c r="E44" s="21">
        <v>0</v>
      </c>
      <c r="F44" s="21">
        <v>0</v>
      </c>
      <c r="G44" s="21">
        <f>SUM(E44:F44)</f>
        <v>0</v>
      </c>
      <c r="H44" s="21">
        <v>0</v>
      </c>
    </row>
    <row r="45" spans="1:9" x14ac:dyDescent="0.35">
      <c r="B45" s="10" t="s">
        <v>43</v>
      </c>
      <c r="C45" s="27" t="s">
        <v>32</v>
      </c>
      <c r="D45" s="28" t="s">
        <v>44</v>
      </c>
      <c r="E45" s="21">
        <v>0</v>
      </c>
      <c r="F45" s="21">
        <v>0</v>
      </c>
      <c r="G45" s="21">
        <v>0</v>
      </c>
      <c r="H45" s="21">
        <v>0</v>
      </c>
      <c r="I45" s="21">
        <f>+H55</f>
        <v>190</v>
      </c>
    </row>
    <row r="46" spans="1:9" x14ac:dyDescent="0.35">
      <c r="D46" s="15" t="s">
        <v>18</v>
      </c>
      <c r="E46" s="14">
        <v>0</v>
      </c>
      <c r="F46" s="14">
        <v>0</v>
      </c>
      <c r="G46" s="14">
        <f>SUM(G40:G43)</f>
        <v>21</v>
      </c>
      <c r="H46" s="14">
        <v>190</v>
      </c>
    </row>
    <row r="48" spans="1:9" ht="29" x14ac:dyDescent="0.35">
      <c r="A48" s="7" t="s">
        <v>6</v>
      </c>
      <c r="B48" s="7" t="s">
        <v>15</v>
      </c>
      <c r="C48" s="1" t="s">
        <v>29</v>
      </c>
      <c r="D48" s="1" t="s">
        <v>28</v>
      </c>
      <c r="E48" s="1" t="s">
        <v>13</v>
      </c>
      <c r="F48" s="1" t="s">
        <v>14</v>
      </c>
      <c r="G48" s="1" t="s">
        <v>16</v>
      </c>
      <c r="H48" s="1" t="s">
        <v>12</v>
      </c>
    </row>
    <row r="49" spans="1:9" x14ac:dyDescent="0.35">
      <c r="A49" s="8" t="s">
        <v>26</v>
      </c>
      <c r="B49" s="12" t="s">
        <v>31</v>
      </c>
      <c r="C49" s="13" t="s">
        <v>32</v>
      </c>
      <c r="D49" s="13" t="s">
        <v>37</v>
      </c>
      <c r="E49" s="14">
        <v>2</v>
      </c>
      <c r="F49" s="14">
        <v>3</v>
      </c>
      <c r="G49" s="14">
        <v>5</v>
      </c>
      <c r="H49" s="14">
        <v>80</v>
      </c>
    </row>
    <row r="50" spans="1:9" x14ac:dyDescent="0.35">
      <c r="A50" s="9">
        <v>46038</v>
      </c>
      <c r="B50" s="12" t="s">
        <v>33</v>
      </c>
      <c r="C50" s="13" t="s">
        <v>37</v>
      </c>
      <c r="D50" s="13" t="s">
        <v>34</v>
      </c>
      <c r="E50" s="14">
        <v>2</v>
      </c>
      <c r="F50" s="14">
        <v>3</v>
      </c>
      <c r="G50" s="14">
        <v>5</v>
      </c>
      <c r="H50" s="14">
        <v>15</v>
      </c>
      <c r="I50" s="14"/>
    </row>
    <row r="51" spans="1:9" x14ac:dyDescent="0.35">
      <c r="A51" s="10"/>
      <c r="B51" s="12" t="s">
        <v>35</v>
      </c>
      <c r="C51" s="13" t="s">
        <v>36</v>
      </c>
      <c r="D51" s="13" t="s">
        <v>38</v>
      </c>
      <c r="E51" s="14">
        <v>2</v>
      </c>
      <c r="F51" s="14">
        <v>2</v>
      </c>
      <c r="G51" s="14">
        <v>4</v>
      </c>
      <c r="H51" s="14">
        <v>15</v>
      </c>
      <c r="I51" t="e">
        <f>SUM(I17:I50)</f>
        <v>#REF!</v>
      </c>
    </row>
    <row r="52" spans="1:9" x14ac:dyDescent="0.35">
      <c r="A52" s="11"/>
      <c r="B52" s="12" t="s">
        <v>39</v>
      </c>
      <c r="C52" s="13" t="s">
        <v>38</v>
      </c>
      <c r="D52" s="13" t="s">
        <v>40</v>
      </c>
      <c r="E52" s="14">
        <v>3</v>
      </c>
      <c r="F52" s="14">
        <v>2</v>
      </c>
      <c r="G52" s="14">
        <v>5</v>
      </c>
      <c r="H52" s="14">
        <v>80</v>
      </c>
    </row>
    <row r="53" spans="1:9" x14ac:dyDescent="0.35">
      <c r="B53" s="10" t="s">
        <v>42</v>
      </c>
      <c r="C53" s="27" t="s">
        <v>45</v>
      </c>
      <c r="D53" s="28" t="s">
        <v>40</v>
      </c>
      <c r="E53" s="21">
        <v>0</v>
      </c>
      <c r="F53" s="21">
        <v>0</v>
      </c>
      <c r="G53" s="21">
        <f>SUM(E53:F53)</f>
        <v>0</v>
      </c>
      <c r="H53" s="21">
        <v>0</v>
      </c>
    </row>
    <row r="54" spans="1:9" x14ac:dyDescent="0.35">
      <c r="B54" s="10" t="s">
        <v>43</v>
      </c>
      <c r="C54" s="27" t="s">
        <v>32</v>
      </c>
      <c r="D54" s="28" t="s">
        <v>44</v>
      </c>
      <c r="E54" s="21">
        <v>0</v>
      </c>
      <c r="F54" s="21">
        <v>0</v>
      </c>
      <c r="G54" s="21">
        <v>0</v>
      </c>
      <c r="H54" s="21">
        <v>0</v>
      </c>
    </row>
    <row r="55" spans="1:9" x14ac:dyDescent="0.35">
      <c r="D55" s="15" t="s">
        <v>18</v>
      </c>
      <c r="E55" s="14">
        <f>SUM(E49:E52)</f>
        <v>9</v>
      </c>
      <c r="F55" s="14">
        <f>SUM(F49:F52)</f>
        <v>10</v>
      </c>
      <c r="G55" s="14">
        <f>SUM(G49:G52)</f>
        <v>19</v>
      </c>
      <c r="H55" s="14">
        <v>190</v>
      </c>
    </row>
    <row r="57" spans="1:9" x14ac:dyDescent="0.35">
      <c r="A57" t="s">
        <v>7</v>
      </c>
    </row>
    <row r="58" spans="1:9" x14ac:dyDescent="0.35">
      <c r="A58" t="s">
        <v>8</v>
      </c>
    </row>
    <row r="59" spans="1:9" x14ac:dyDescent="0.35">
      <c r="A59" t="s">
        <v>9</v>
      </c>
    </row>
    <row r="61" spans="1:9" ht="20.5" thickBot="1" x14ac:dyDescent="0.65">
      <c r="A61" s="18" t="s">
        <v>21</v>
      </c>
      <c r="B61" s="24" t="s">
        <v>41</v>
      </c>
      <c r="E61" s="16" t="s">
        <v>20</v>
      </c>
      <c r="F61" s="20">
        <v>46038</v>
      </c>
    </row>
  </sheetData>
  <printOptions horizontalCentered="1"/>
  <pageMargins left="0.75" right="0.75" top="1" bottom="1" header="0.5" footer="0.5"/>
  <pageSetup scale="78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cp:lastPrinted>2025-08-03T18:16:46Z</cp:lastPrinted>
  <dcterms:created xsi:type="dcterms:W3CDTF">2025-07-31T17:44:29Z</dcterms:created>
  <dcterms:modified xsi:type="dcterms:W3CDTF">2026-02-03T16:55:38Z</dcterms:modified>
</cp:coreProperties>
</file>